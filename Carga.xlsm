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649E3064-71DD-4420-BEFD-AC94B590E718}" xr6:coauthVersionLast="46" xr6:coauthVersionMax="46" xr10:uidLastSave="{00000000-0000-0000-0000-000000000000}"/>
  <bookViews>
    <workbookView xWindow="20370" yWindow="-120" windowWidth="15600" windowHeight="11160" xr2:uid="{00000000-000D-0000-FFFF-FFFF00000000}"/>
  </bookViews>
  <sheets>
    <sheet name="Hoja1" sheetId="1" r:id="rId1"/>
    <sheet name="Hoja2" sheetId="2" r:id="rId2"/>
  </sheets>
  <definedNames>
    <definedName name="_xlnm._FilterDatabase" localSheetId="0" hidden="1">Hoja1!$A$8:$Q$8</definedName>
    <definedName name="abrir">Hoja1!$A$7</definedName>
    <definedName name="abrirdos">Hoja1!$A$6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5" i="1" l="1"/>
  <c r="U14" i="1"/>
  <c r="U13" i="1"/>
  <c r="U12" i="1"/>
  <c r="U11" i="1"/>
  <c r="U10" i="1"/>
  <c r="U9" i="1"/>
  <c r="F3" i="1"/>
  <c r="F1" i="1"/>
  <c r="F2" i="1" l="1"/>
</calcChain>
</file>

<file path=xl/sharedStrings.xml><?xml version="1.0" encoding="utf-8"?>
<sst xmlns="http://schemas.openxmlformats.org/spreadsheetml/2006/main" count="664" uniqueCount="42">
  <si>
    <t>ACTION</t>
  </si>
  <si>
    <t>REFDOC</t>
  </si>
  <si>
    <t>BWART</t>
  </si>
  <si>
    <t>BLDAT</t>
  </si>
  <si>
    <t>BUDAT</t>
  </si>
  <si>
    <t>NAME1</t>
  </si>
  <si>
    <t>LGOBE</t>
  </si>
  <si>
    <t>MAKTX</t>
  </si>
  <si>
    <t>UMNAME1</t>
  </si>
  <si>
    <t>UMLGOBE</t>
  </si>
  <si>
    <t>ERFMG</t>
  </si>
  <si>
    <t>CHARG</t>
  </si>
  <si>
    <t>UMCHA</t>
  </si>
  <si>
    <t>ERFME</t>
  </si>
  <si>
    <t>UMMAT_VENDORNAME</t>
  </si>
  <si>
    <t>SERIALNO_01</t>
  </si>
  <si>
    <t>CODDOC</t>
  </si>
  <si>
    <t>A08</t>
  </si>
  <si>
    <t>R10</t>
  </si>
  <si>
    <t>20.09.2021</t>
  </si>
  <si>
    <t>AG12</t>
  </si>
  <si>
    <t>AL01</t>
  </si>
  <si>
    <t>NUEVO</t>
  </si>
  <si>
    <t>C/U</t>
  </si>
  <si>
    <t>L001</t>
  </si>
  <si>
    <t xml:space="preserve"> </t>
  </si>
  <si>
    <t>DOC_357_ID_</t>
  </si>
  <si>
    <t>DOC_7932_ID_</t>
  </si>
  <si>
    <t>DOC_34785_ID_</t>
  </si>
  <si>
    <t>DOC_7576_ID_</t>
  </si>
  <si>
    <t>DOC_7577_ID_</t>
  </si>
  <si>
    <t>DOC_7579_ID_</t>
  </si>
  <si>
    <t>DOC_7578_ID_</t>
  </si>
  <si>
    <t>600000371102AL01DOC_34785_ID_</t>
  </si>
  <si>
    <t>600000371102AL01DOC_7576_ID_</t>
  </si>
  <si>
    <t>600000371102AL01DOC_7577_ID_</t>
  </si>
  <si>
    <t>600000371102AL01DOC_7579_ID_</t>
  </si>
  <si>
    <t>600000379102AL01DOC_7578_ID_</t>
  </si>
  <si>
    <t>600000086102AG12DOC_357_ID_</t>
  </si>
  <si>
    <t>600000086102AL01DOC_7932_ID_</t>
  </si>
  <si>
    <t>12w12w</t>
  </si>
  <si>
    <t>C:\Users\DELL\Downloads\DATOSPARACARGADEMEDIDORES1 (1).xlsx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</si>
</sst>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000000000000000000"/>
    <numFmt numFmtId="166" formatCode="000000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17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8">
    <xf numFmtId="0" fontId="0" fillId="0" borderId="0" xfId="0"/>
    <xf numFmtId="0" fontId="2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1" xfId="0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49" fontId="3" fillId="0" borderId="3" xfId="1" applyNumberFormat="1" applyFont="1" applyFill="1" applyBorder="1" applyProtection="1">
      <protection locked="0"/>
    </xf>
    <xf numFmtId="0" fontId="2" fillId="0" borderId="4" xfId="0" applyFont="1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 hidden="1"/>
    </xf>
    <xf numFmtId="0" fontId="4" fillId="0" borderId="0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166" fontId="2" fillId="0" borderId="0" xfId="0" applyNumberFormat="1" applyFont="1" applyFill="1" applyBorder="1" applyAlignment="1" applyProtection="1">
      <alignment horizontal="left"/>
      <protection locked="0"/>
    </xf>
    <xf numFmtId="1" fontId="2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49" fontId="3" fillId="0" borderId="5" xfId="1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164" fontId="4" fillId="0" borderId="0" xfId="0" applyNumberFormat="1" applyFont="1" applyFill="1" applyBorder="1" applyAlignment="1" applyProtection="1">
      <alignment horizontal="left"/>
      <protection locked="0"/>
    </xf>
    <xf numFmtId="165" fontId="4" fillId="0" borderId="0" xfId="0" applyNumberFormat="1" applyFont="1" applyFill="1" applyBorder="1" applyProtection="1">
      <protection locked="0"/>
    </xf>
    <xf numFmtId="166" fontId="4" fillId="0" borderId="0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3" fillId="0" borderId="3" xfId="1" applyNumberFormat="1" applyFont="1" applyFill="1" applyBorder="1" applyAlignment="1" applyProtection="1">
      <alignment horizontal="left"/>
      <protection locked="0"/>
    </xf>
    <xf numFmtId="164" fontId="3" fillId="0" borderId="3" xfId="1" applyNumberFormat="1" applyFont="1" applyFill="1" applyBorder="1" applyAlignment="1" applyProtection="1">
      <alignment horizontal="left"/>
      <protection locked="0"/>
    </xf>
    <xf numFmtId="165" fontId="3" fillId="0" borderId="3" xfId="1" applyNumberFormat="1" applyFont="1" applyFill="1" applyBorder="1" applyProtection="1">
      <protection locked="0"/>
    </xf>
    <xf numFmtId="0" fontId="3" fillId="0" borderId="3" xfId="1" applyFont="1" applyFill="1" applyBorder="1" applyAlignment="1" applyProtection="1">
      <alignment horizontal="left"/>
      <protection locked="0"/>
    </xf>
    <xf numFmtId="0" fontId="3" fillId="0" borderId="6" xfId="1" applyFont="1" applyFill="1" applyBorder="1" applyProtection="1">
      <protection locked="0"/>
    </xf>
    <xf numFmtId="0" fontId="3" fillId="0" borderId="5" xfId="1" applyFont="1" applyFill="1" applyBorder="1" applyProtection="1">
      <protection locked="0"/>
    </xf>
    <xf numFmtId="0" fontId="3" fillId="0" borderId="3" xfId="1" applyFont="1" applyFill="1" applyBorder="1" applyProtection="1">
      <protection locked="0"/>
    </xf>
    <xf numFmtId="166" fontId="3" fillId="0" borderId="3" xfId="1" applyNumberFormat="1" applyFont="1" applyFill="1" applyBorder="1" applyAlignment="1" applyProtection="1">
      <alignment horizontal="left"/>
      <protection locked="0"/>
    </xf>
    <xf numFmtId="1" fontId="3" fillId="0" borderId="3" xfId="1" applyNumberFormat="1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164" fontId="2" fillId="0" borderId="0" xfId="0" applyNumberFormat="1" applyFont="1" applyFill="1" applyBorder="1" applyAlignment="1" applyProtection="1">
      <alignment horizontal="left"/>
      <protection locked="0"/>
    </xf>
    <xf numFmtId="165" fontId="2" fillId="0" borderId="0" xfId="0" applyNumberFormat="1" applyFont="1" applyFill="1" applyBorder="1" applyProtection="1">
      <protection locked="0"/>
    </xf>
    <xf numFmtId="0" fontId="8" fillId="0" borderId="0" xfId="0" applyNumberFormat="1" applyFont="1" applyFill="1" applyBorder="1" applyProtection="1">
      <protection hidden="1"/>
    </xf>
    <xf numFmtId="0" fontId="4" fillId="0" borderId="0" xfId="0" applyNumberFormat="1" applyFont="1" applyFill="1" applyBorder="1" applyProtection="1">
      <protection hidden="1"/>
    </xf>
    <xf numFmtId="0" fontId="9" fillId="0" borderId="0" xfId="0" applyFont="1" applyFill="1" applyBorder="1" applyProtection="1">
      <protection locked="0"/>
    </xf>
  </cellXfs>
  <cellStyles count="2">
    <cellStyle name="Bueno" xfId="1" builtinId="26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0</xdr:rowOff>
        </xdr:from>
        <xdr:to>
          <xdr:col>7</xdr:col>
          <xdr:colOff>161925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</a:t>
              </a:r>
            </a:p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TRANSACCIONES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66"/>
  <sheetViews>
    <sheetView tabSelected="1" zoomScaleNormal="100" workbookViewId="0">
      <selection activeCell="B4" sqref="B4"/>
    </sheetView>
  </sheetViews>
  <sheetFormatPr baseColWidth="10" defaultRowHeight="15" x14ac:dyDescent="0.25"/>
  <cols>
    <col min="1" max="1" width="8.85546875" style="3" customWidth="1"/>
    <col min="2" max="2" width="10.28515625" style="3" customWidth="1"/>
    <col min="3" max="3" width="8.42578125" style="3" customWidth="1"/>
    <col min="4" max="4" width="10.28515625" style="3" customWidth="1"/>
    <col min="5" max="5" width="11.42578125" style="3"/>
    <col min="6" max="6" width="9.5703125" style="3" customWidth="1"/>
    <col min="7" max="7" width="9.140625" style="3" customWidth="1"/>
    <col min="8" max="8" width="20.5703125" style="3" customWidth="1"/>
    <col min="9" max="9" width="7.42578125" style="3" customWidth="1"/>
    <col min="10" max="10" width="7.5703125" style="3" customWidth="1"/>
    <col min="11" max="11" width="4.28515625" style="3" customWidth="1"/>
    <col min="12" max="12" width="9.5703125" style="3" customWidth="1"/>
    <col min="13" max="13" width="11.42578125" style="3"/>
    <col min="14" max="14" width="6.28515625" style="3" customWidth="1"/>
    <col min="15" max="15" width="11.42578125" style="3"/>
    <col min="16" max="17" width="13.42578125" style="4" customWidth="1"/>
    <col min="18" max="16384" width="11.42578125" style="2"/>
  </cols>
  <sheetData>
    <row r="1" spans="1:21" s="9" customFormat="1" ht="23.25" x14ac:dyDescent="0.35">
      <c r="A1" s="15"/>
      <c r="F1" s="37">
        <f>COUNTA(A9:A999942)+8</f>
        <v>65</v>
      </c>
      <c r="P1" s="15"/>
      <c r="Q1" s="15"/>
    </row>
    <row r="2" spans="1:21" s="9" customFormat="1" ht="23.25" x14ac:dyDescent="0.35">
      <c r="A2" s="15"/>
      <c r="B2" s="16"/>
      <c r="C2" s="35">
        <v>1310832</v>
      </c>
      <c r="F2" s="37">
        <f>COUNTA(E:E)+7</f>
        <v>65</v>
      </c>
      <c r="K2" s="8"/>
      <c r="P2" s="15"/>
      <c r="Q2" s="15"/>
    </row>
    <row r="3" spans="1:21" s="9" customFormat="1" ht="23.25" x14ac:dyDescent="0.35">
      <c r="A3" s="15"/>
      <c r="B3" s="16"/>
      <c r="C3" s="36" t="s">
        <v>40</v>
      </c>
      <c r="F3" s="37">
        <f>COUNTA(T:T)+8</f>
        <v>15</v>
      </c>
      <c r="P3" s="15"/>
      <c r="Q3" s="15"/>
    </row>
    <row r="4" spans="1:21" s="9" customFormat="1" x14ac:dyDescent="0.25">
      <c r="A4" s="15"/>
      <c r="P4" s="15"/>
      <c r="Q4" s="15"/>
    </row>
    <row r="5" spans="1:21" s="9" customFormat="1" x14ac:dyDescent="0.25">
      <c r="A5" s="15"/>
      <c r="C5" s="17"/>
      <c r="F5" s="18"/>
      <c r="H5" s="19"/>
      <c r="I5" s="18"/>
      <c r="K5" s="17"/>
      <c r="O5" s="20"/>
      <c r="P5" s="15"/>
      <c r="Q5" s="15"/>
    </row>
    <row r="6" spans="1:21" s="9" customFormat="1" x14ac:dyDescent="0.25">
      <c r="A6" s="15"/>
      <c r="B6" s="21"/>
      <c r="C6" s="22"/>
      <c r="F6" s="18"/>
      <c r="H6" s="19"/>
      <c r="I6" s="18"/>
      <c r="K6" s="17"/>
      <c r="O6" s="20"/>
      <c r="P6" s="15"/>
      <c r="Q6" s="15"/>
    </row>
    <row r="7" spans="1:21" s="6" customFormat="1" ht="13.5" customHeight="1" x14ac:dyDescent="0.25">
      <c r="A7" s="7" t="s">
        <v>41</v>
      </c>
      <c r="B7" s="13"/>
      <c r="C7" s="32"/>
      <c r="D7" s="10"/>
      <c r="E7" s="10"/>
      <c r="F7" s="33"/>
      <c r="G7" s="10"/>
      <c r="H7" s="34"/>
      <c r="I7" s="33"/>
      <c r="J7" s="10"/>
      <c r="K7" s="32"/>
      <c r="L7" s="10"/>
      <c r="M7" s="10"/>
      <c r="N7" s="10"/>
      <c r="O7" s="11"/>
      <c r="P7" s="12"/>
      <c r="Q7" s="12"/>
    </row>
    <row r="8" spans="1:21" s="1" customFormat="1" x14ac:dyDescent="0.25">
      <c r="A8" s="14" t="s">
        <v>0</v>
      </c>
      <c r="B8" s="5" t="s">
        <v>1</v>
      </c>
      <c r="C8" s="23" t="s">
        <v>2</v>
      </c>
      <c r="D8" s="5" t="s">
        <v>3</v>
      </c>
      <c r="E8" s="5" t="s">
        <v>4</v>
      </c>
      <c r="F8" s="24" t="s">
        <v>5</v>
      </c>
      <c r="G8" s="5" t="s">
        <v>6</v>
      </c>
      <c r="H8" s="25" t="s">
        <v>7</v>
      </c>
      <c r="I8" s="24" t="s">
        <v>8</v>
      </c>
      <c r="J8" s="5" t="s">
        <v>9</v>
      </c>
      <c r="K8" s="26" t="s">
        <v>10</v>
      </c>
      <c r="L8" s="27" t="s">
        <v>11</v>
      </c>
      <c r="M8" s="28" t="s">
        <v>12</v>
      </c>
      <c r="N8" s="29" t="s">
        <v>13</v>
      </c>
      <c r="O8" s="30" t="s">
        <v>14</v>
      </c>
      <c r="P8" s="31" t="s">
        <v>15</v>
      </c>
      <c r="Q8" s="29" t="s">
        <v>16</v>
      </c>
    </row>
    <row r="9" spans="1:21" x14ac:dyDescent="0.25">
      <c r="A9" s="3" t="s">
        <v>17</v>
      </c>
      <c r="B9" s="3" t="s">
        <v>18</v>
      </c>
      <c r="C9" s="3">
        <v>311</v>
      </c>
      <c r="D9" s="3" t="s">
        <v>19</v>
      </c>
      <c r="E9" s="3" t="s">
        <v>19</v>
      </c>
      <c r="F9" s="3">
        <v>102</v>
      </c>
      <c r="G9" s="3" t="s">
        <v>21</v>
      </c>
      <c r="H9" s="3">
        <v>600000086</v>
      </c>
      <c r="I9" s="3">
        <v>102</v>
      </c>
      <c r="J9" s="3" t="s">
        <v>20</v>
      </c>
      <c r="K9" s="3">
        <v>1</v>
      </c>
      <c r="L9" s="3" t="s">
        <v>22</v>
      </c>
      <c r="M9" s="3" t="s">
        <v>22</v>
      </c>
      <c r="N9" s="3" t="s">
        <v>23</v>
      </c>
      <c r="O9" s="3">
        <v>999999</v>
      </c>
      <c r="P9" s="4">
        <v>3453245</v>
      </c>
      <c r="Q9" s="4" t="s">
        <v>26</v>
      </c>
      <c r="R9" s="2" t="s">
        <v>38</v>
      </c>
      <c r="T9" s="2" t="s">
        <v>38</v>
      </c>
      <c r="U9" s="2">
        <f>COUNTIF($R:$R,T9)</f>
        <v>12</v>
      </c>
    </row>
    <row r="10" spans="1:21" x14ac:dyDescent="0.25">
      <c r="A10" s="3" t="s">
        <v>17</v>
      </c>
      <c r="B10" s="3" t="s">
        <v>18</v>
      </c>
      <c r="C10" s="3">
        <v>311</v>
      </c>
      <c r="D10" s="3" t="s">
        <v>19</v>
      </c>
      <c r="E10" s="3" t="s">
        <v>19</v>
      </c>
      <c r="F10" s="3">
        <v>102</v>
      </c>
      <c r="G10" s="3" t="s">
        <v>21</v>
      </c>
      <c r="H10" s="3">
        <v>600000086</v>
      </c>
      <c r="I10" s="3">
        <v>102</v>
      </c>
      <c r="J10" s="3" t="s">
        <v>20</v>
      </c>
      <c r="K10" s="3">
        <v>1</v>
      </c>
      <c r="L10" s="3" t="s">
        <v>22</v>
      </c>
      <c r="M10" s="3" t="s">
        <v>22</v>
      </c>
      <c r="N10" s="3" t="s">
        <v>23</v>
      </c>
      <c r="O10" s="3">
        <v>999999</v>
      </c>
      <c r="P10" s="4">
        <v>234234</v>
      </c>
      <c r="Q10" s="4" t="s">
        <v>26</v>
      </c>
      <c r="R10" s="2" t="s">
        <v>38</v>
      </c>
      <c r="T10" s="2" t="s">
        <v>39</v>
      </c>
      <c r="U10" s="2">
        <f t="shared" ref="U10:U15" si="0">COUNTIF($R:$R,T10)</f>
        <v>34</v>
      </c>
    </row>
    <row r="11" spans="1:21" x14ac:dyDescent="0.25">
      <c r="A11" s="3" t="s">
        <v>17</v>
      </c>
      <c r="B11" s="3" t="s">
        <v>18</v>
      </c>
      <c r="C11" s="3">
        <v>311</v>
      </c>
      <c r="D11" s="3" t="s">
        <v>19</v>
      </c>
      <c r="E11" s="3" t="s">
        <v>19</v>
      </c>
      <c r="F11" s="3">
        <v>102</v>
      </c>
      <c r="G11" s="3" t="s">
        <v>21</v>
      </c>
      <c r="H11" s="3">
        <v>600000086</v>
      </c>
      <c r="I11" s="3">
        <v>102</v>
      </c>
      <c r="J11" s="3" t="s">
        <v>20</v>
      </c>
      <c r="K11" s="3">
        <v>1</v>
      </c>
      <c r="L11" s="3" t="s">
        <v>22</v>
      </c>
      <c r="M11" s="3" t="s">
        <v>22</v>
      </c>
      <c r="N11" s="3" t="s">
        <v>23</v>
      </c>
      <c r="O11" s="3">
        <v>999999</v>
      </c>
      <c r="P11" s="4">
        <v>567</v>
      </c>
      <c r="Q11" s="4" t="s">
        <v>26</v>
      </c>
      <c r="R11" s="2" t="s">
        <v>38</v>
      </c>
      <c r="T11" s="2" t="s">
        <v>33</v>
      </c>
      <c r="U11" s="2">
        <f t="shared" si="0"/>
        <v>5</v>
      </c>
    </row>
    <row r="12" spans="1:21" x14ac:dyDescent="0.25">
      <c r="A12" s="3" t="s">
        <v>17</v>
      </c>
      <c r="B12" s="3" t="s">
        <v>18</v>
      </c>
      <c r="C12" s="3">
        <v>311</v>
      </c>
      <c r="D12" s="3" t="s">
        <v>19</v>
      </c>
      <c r="E12" s="3" t="s">
        <v>19</v>
      </c>
      <c r="F12" s="3">
        <v>102</v>
      </c>
      <c r="G12" s="3" t="s">
        <v>21</v>
      </c>
      <c r="H12" s="3">
        <v>600000086</v>
      </c>
      <c r="I12" s="3">
        <v>102</v>
      </c>
      <c r="J12" s="3" t="s">
        <v>20</v>
      </c>
      <c r="K12" s="3">
        <v>1</v>
      </c>
      <c r="L12" s="3" t="s">
        <v>22</v>
      </c>
      <c r="M12" s="3" t="s">
        <v>22</v>
      </c>
      <c r="N12" s="3" t="s">
        <v>23</v>
      </c>
      <c r="O12" s="3">
        <v>999999</v>
      </c>
      <c r="P12" s="4">
        <v>35345</v>
      </c>
      <c r="Q12" s="4" t="s">
        <v>26</v>
      </c>
      <c r="R12" s="2" t="s">
        <v>38</v>
      </c>
      <c r="T12" s="2" t="s">
        <v>34</v>
      </c>
      <c r="U12" s="2">
        <f t="shared" si="0"/>
        <v>1</v>
      </c>
    </row>
    <row r="13" spans="1:21" x14ac:dyDescent="0.25">
      <c r="A13" s="3" t="s">
        <v>17</v>
      </c>
      <c r="B13" s="3" t="s">
        <v>18</v>
      </c>
      <c r="C13" s="3">
        <v>311</v>
      </c>
      <c r="D13" s="3" t="s">
        <v>19</v>
      </c>
      <c r="E13" s="3" t="s">
        <v>19</v>
      </c>
      <c r="F13" s="3">
        <v>102</v>
      </c>
      <c r="G13" s="3" t="s">
        <v>21</v>
      </c>
      <c r="H13" s="3">
        <v>600000086</v>
      </c>
      <c r="I13" s="3">
        <v>102</v>
      </c>
      <c r="J13" s="3" t="s">
        <v>20</v>
      </c>
      <c r="K13" s="3">
        <v>1</v>
      </c>
      <c r="L13" s="3" t="s">
        <v>22</v>
      </c>
      <c r="M13" s="3" t="s">
        <v>22</v>
      </c>
      <c r="N13" s="3" t="s">
        <v>23</v>
      </c>
      <c r="O13" s="3">
        <v>999999</v>
      </c>
      <c r="P13" s="4">
        <v>67878945</v>
      </c>
      <c r="Q13" s="4" t="s">
        <v>26</v>
      </c>
      <c r="R13" s="2" t="s">
        <v>38</v>
      </c>
      <c r="T13" s="2" t="s">
        <v>35</v>
      </c>
      <c r="U13" s="2">
        <f t="shared" si="0"/>
        <v>3</v>
      </c>
    </row>
    <row r="14" spans="1:21" x14ac:dyDescent="0.25">
      <c r="A14" s="3" t="s">
        <v>17</v>
      </c>
      <c r="B14" s="3" t="s">
        <v>18</v>
      </c>
      <c r="C14" s="3">
        <v>311</v>
      </c>
      <c r="D14" s="3" t="s">
        <v>19</v>
      </c>
      <c r="E14" s="3" t="s">
        <v>19</v>
      </c>
      <c r="F14" s="3">
        <v>102</v>
      </c>
      <c r="G14" s="3" t="s">
        <v>21</v>
      </c>
      <c r="H14" s="3">
        <v>600000086</v>
      </c>
      <c r="I14" s="3">
        <v>102</v>
      </c>
      <c r="J14" s="3" t="s">
        <v>20</v>
      </c>
      <c r="K14" s="3">
        <v>1</v>
      </c>
      <c r="L14" s="3" t="s">
        <v>22</v>
      </c>
      <c r="M14" s="3" t="s">
        <v>22</v>
      </c>
      <c r="N14" s="3" t="s">
        <v>23</v>
      </c>
      <c r="O14" s="3">
        <v>999999</v>
      </c>
      <c r="P14" s="4">
        <v>457</v>
      </c>
      <c r="Q14" s="4" t="s">
        <v>26</v>
      </c>
      <c r="R14" s="2" t="s">
        <v>38</v>
      </c>
      <c r="T14" s="2" t="s">
        <v>36</v>
      </c>
      <c r="U14" s="2">
        <f t="shared" si="0"/>
        <v>1</v>
      </c>
    </row>
    <row r="15" spans="1:21" x14ac:dyDescent="0.25">
      <c r="A15" s="3" t="s">
        <v>17</v>
      </c>
      <c r="B15" s="3" t="s">
        <v>18</v>
      </c>
      <c r="C15" s="3">
        <v>311</v>
      </c>
      <c r="D15" s="3" t="s">
        <v>19</v>
      </c>
      <c r="E15" s="3" t="s">
        <v>19</v>
      </c>
      <c r="F15" s="3">
        <v>102</v>
      </c>
      <c r="G15" s="3" t="s">
        <v>21</v>
      </c>
      <c r="H15" s="3">
        <v>600000086</v>
      </c>
      <c r="I15" s="3">
        <v>102</v>
      </c>
      <c r="J15" s="3" t="s">
        <v>20</v>
      </c>
      <c r="K15" s="3">
        <v>1</v>
      </c>
      <c r="L15" s="3" t="s">
        <v>22</v>
      </c>
      <c r="M15" s="3" t="s">
        <v>22</v>
      </c>
      <c r="N15" s="3" t="s">
        <v>23</v>
      </c>
      <c r="O15" s="3">
        <v>999999</v>
      </c>
      <c r="P15" s="4">
        <v>6878</v>
      </c>
      <c r="Q15" s="4" t="s">
        <v>26</v>
      </c>
      <c r="R15" s="2" t="s">
        <v>38</v>
      </c>
      <c r="T15" s="2" t="s">
        <v>37</v>
      </c>
      <c r="U15" s="2">
        <f t="shared" si="0"/>
        <v>1</v>
      </c>
    </row>
    <row r="16" spans="1:21" x14ac:dyDescent="0.25">
      <c r="A16" s="3" t="s">
        <v>17</v>
      </c>
      <c r="B16" s="3" t="s">
        <v>18</v>
      </c>
      <c r="C16" s="3">
        <v>311</v>
      </c>
      <c r="D16" s="3" t="s">
        <v>19</v>
      </c>
      <c r="E16" s="3" t="s">
        <v>19</v>
      </c>
      <c r="F16" s="3">
        <v>102</v>
      </c>
      <c r="G16" s="3" t="s">
        <v>21</v>
      </c>
      <c r="H16" s="3">
        <v>600000086</v>
      </c>
      <c r="I16" s="3">
        <v>102</v>
      </c>
      <c r="J16" s="3" t="s">
        <v>20</v>
      </c>
      <c r="K16" s="3">
        <v>1</v>
      </c>
      <c r="L16" s="3" t="s">
        <v>22</v>
      </c>
      <c r="M16" s="3" t="s">
        <v>22</v>
      </c>
      <c r="N16" s="3" t="s">
        <v>23</v>
      </c>
      <c r="O16" s="3">
        <v>999999</v>
      </c>
      <c r="P16" s="4">
        <v>780</v>
      </c>
      <c r="Q16" s="4" t="s">
        <v>26</v>
      </c>
      <c r="R16" s="2" t="s">
        <v>38</v>
      </c>
    </row>
    <row r="17" spans="1:20" x14ac:dyDescent="0.25">
      <c r="A17" s="3" t="s">
        <v>17</v>
      </c>
      <c r="B17" s="3" t="s">
        <v>18</v>
      </c>
      <c r="C17" s="3">
        <v>311</v>
      </c>
      <c r="D17" s="3" t="s">
        <v>19</v>
      </c>
      <c r="E17" s="3" t="s">
        <v>19</v>
      </c>
      <c r="F17" s="3">
        <v>102</v>
      </c>
      <c r="G17" s="3" t="s">
        <v>21</v>
      </c>
      <c r="H17" s="3">
        <v>600000086</v>
      </c>
      <c r="I17" s="3">
        <v>102</v>
      </c>
      <c r="J17" s="3" t="s">
        <v>20</v>
      </c>
      <c r="K17" s="3">
        <v>1</v>
      </c>
      <c r="L17" s="3" t="s">
        <v>22</v>
      </c>
      <c r="M17" s="3" t="s">
        <v>22</v>
      </c>
      <c r="N17" s="3" t="s">
        <v>23</v>
      </c>
      <c r="O17" s="3">
        <v>999999</v>
      </c>
      <c r="P17" s="4">
        <v>6756</v>
      </c>
      <c r="Q17" s="4" t="s">
        <v>26</v>
      </c>
      <c r="R17" s="2" t="s">
        <v>38</v>
      </c>
      <c r="T17"/>
    </row>
    <row r="18" spans="1:20" x14ac:dyDescent="0.25">
      <c r="A18" s="3" t="s">
        <v>17</v>
      </c>
      <c r="B18" s="3" t="s">
        <v>18</v>
      </c>
      <c r="C18" s="3">
        <v>311</v>
      </c>
      <c r="D18" s="3" t="s">
        <v>19</v>
      </c>
      <c r="E18" s="3" t="s">
        <v>19</v>
      </c>
      <c r="F18" s="3">
        <v>102</v>
      </c>
      <c r="G18" s="3" t="s">
        <v>21</v>
      </c>
      <c r="H18" s="3">
        <v>600000086</v>
      </c>
      <c r="I18" s="3">
        <v>102</v>
      </c>
      <c r="J18" s="3" t="s">
        <v>20</v>
      </c>
      <c r="K18" s="3">
        <v>1</v>
      </c>
      <c r="L18" s="3" t="s">
        <v>22</v>
      </c>
      <c r="M18" s="3" t="s">
        <v>22</v>
      </c>
      <c r="N18" s="3" t="s">
        <v>23</v>
      </c>
      <c r="O18" s="3">
        <v>999999</v>
      </c>
      <c r="P18" s="4">
        <v>78086</v>
      </c>
      <c r="Q18" s="4" t="s">
        <v>26</v>
      </c>
      <c r="R18" s="2" t="s">
        <v>38</v>
      </c>
      <c r="T18"/>
    </row>
    <row r="19" spans="1:20" x14ac:dyDescent="0.25">
      <c r="A19" s="3" t="s">
        <v>17</v>
      </c>
      <c r="B19" s="3" t="s">
        <v>18</v>
      </c>
      <c r="C19" s="3">
        <v>311</v>
      </c>
      <c r="D19" s="3" t="s">
        <v>19</v>
      </c>
      <c r="E19" s="3" t="s">
        <v>19</v>
      </c>
      <c r="F19" s="3">
        <v>102</v>
      </c>
      <c r="G19" s="3" t="s">
        <v>21</v>
      </c>
      <c r="H19" s="3">
        <v>600000086</v>
      </c>
      <c r="I19" s="3">
        <v>102</v>
      </c>
      <c r="J19" s="3" t="s">
        <v>20</v>
      </c>
      <c r="K19" s="3">
        <v>1</v>
      </c>
      <c r="L19" s="3" t="s">
        <v>22</v>
      </c>
      <c r="M19" s="3" t="s">
        <v>22</v>
      </c>
      <c r="N19" s="3" t="s">
        <v>23</v>
      </c>
      <c r="O19" s="3">
        <v>999999</v>
      </c>
      <c r="P19" s="4">
        <v>345</v>
      </c>
      <c r="Q19" s="4" t="s">
        <v>26</v>
      </c>
      <c r="R19" s="2" t="s">
        <v>38</v>
      </c>
      <c r="T19"/>
    </row>
    <row r="20" spans="1:20" x14ac:dyDescent="0.25">
      <c r="A20" s="3" t="s">
        <v>17</v>
      </c>
      <c r="B20" s="3" t="s">
        <v>18</v>
      </c>
      <c r="C20" s="3">
        <v>311</v>
      </c>
      <c r="D20" s="3" t="s">
        <v>19</v>
      </c>
      <c r="E20" s="3" t="s">
        <v>19</v>
      </c>
      <c r="F20" s="3">
        <v>102</v>
      </c>
      <c r="G20" s="3" t="s">
        <v>21</v>
      </c>
      <c r="H20" s="3">
        <v>600000086</v>
      </c>
      <c r="I20" s="3">
        <v>102</v>
      </c>
      <c r="J20" s="3" t="s">
        <v>20</v>
      </c>
      <c r="K20" s="3">
        <v>1</v>
      </c>
      <c r="L20" s="3" t="s">
        <v>22</v>
      </c>
      <c r="M20" s="3" t="s">
        <v>22</v>
      </c>
      <c r="N20" s="3" t="s">
        <v>23</v>
      </c>
      <c r="O20" s="3">
        <v>999999</v>
      </c>
      <c r="P20" s="4">
        <v>967</v>
      </c>
      <c r="Q20" s="4" t="s">
        <v>26</v>
      </c>
      <c r="R20" s="2" t="s">
        <v>38</v>
      </c>
      <c r="T20"/>
    </row>
    <row r="21" spans="1:20" x14ac:dyDescent="0.25">
      <c r="A21" s="3" t="s">
        <v>17</v>
      </c>
      <c r="B21" s="3" t="s">
        <v>18</v>
      </c>
      <c r="C21" s="3">
        <v>301</v>
      </c>
      <c r="D21" s="3" t="s">
        <v>19</v>
      </c>
      <c r="E21" s="3" t="s">
        <v>19</v>
      </c>
      <c r="F21" s="3">
        <v>101</v>
      </c>
      <c r="G21" s="3" t="s">
        <v>24</v>
      </c>
      <c r="H21" s="3">
        <v>600000086</v>
      </c>
      <c r="I21" s="3">
        <v>102</v>
      </c>
      <c r="J21" s="3" t="s">
        <v>21</v>
      </c>
      <c r="K21" s="3">
        <v>1</v>
      </c>
      <c r="L21" s="3" t="s">
        <v>22</v>
      </c>
      <c r="M21" s="3" t="s">
        <v>22</v>
      </c>
      <c r="N21" s="3" t="s">
        <v>23</v>
      </c>
      <c r="O21" s="3">
        <v>999999</v>
      </c>
      <c r="P21" s="4">
        <v>343465687</v>
      </c>
      <c r="Q21" s="4" t="s">
        <v>27</v>
      </c>
      <c r="R21" s="2" t="s">
        <v>39</v>
      </c>
      <c r="T21"/>
    </row>
    <row r="22" spans="1:20" x14ac:dyDescent="0.25">
      <c r="A22" s="3" t="s">
        <v>17</v>
      </c>
      <c r="B22" s="3" t="s">
        <v>18</v>
      </c>
      <c r="C22" s="3">
        <v>301</v>
      </c>
      <c r="D22" s="3" t="s">
        <v>19</v>
      </c>
      <c r="E22" s="3" t="s">
        <v>19</v>
      </c>
      <c r="F22" s="3">
        <v>101</v>
      </c>
      <c r="G22" s="3" t="s">
        <v>24</v>
      </c>
      <c r="H22" s="3">
        <v>600000086</v>
      </c>
      <c r="I22" s="3">
        <v>102</v>
      </c>
      <c r="J22" s="3" t="s">
        <v>21</v>
      </c>
      <c r="K22" s="3">
        <v>1</v>
      </c>
      <c r="L22" s="3" t="s">
        <v>22</v>
      </c>
      <c r="M22" s="3" t="s">
        <v>22</v>
      </c>
      <c r="N22" s="3" t="s">
        <v>23</v>
      </c>
      <c r="O22" s="3">
        <v>999999</v>
      </c>
      <c r="P22" s="4">
        <v>34523</v>
      </c>
      <c r="Q22" s="4" t="s">
        <v>27</v>
      </c>
      <c r="R22" s="2" t="s">
        <v>39</v>
      </c>
      <c r="T22"/>
    </row>
    <row r="23" spans="1:20" x14ac:dyDescent="0.25">
      <c r="A23" s="3" t="s">
        <v>17</v>
      </c>
      <c r="B23" s="3" t="s">
        <v>18</v>
      </c>
      <c r="C23" s="3">
        <v>301</v>
      </c>
      <c r="D23" s="3" t="s">
        <v>19</v>
      </c>
      <c r="E23" s="3" t="s">
        <v>19</v>
      </c>
      <c r="F23" s="3">
        <v>101</v>
      </c>
      <c r="G23" s="3" t="s">
        <v>24</v>
      </c>
      <c r="H23" s="3">
        <v>600000086</v>
      </c>
      <c r="I23" s="3">
        <v>102</v>
      </c>
      <c r="J23" s="3" t="s">
        <v>21</v>
      </c>
      <c r="K23" s="3">
        <v>1</v>
      </c>
      <c r="L23" s="3" t="s">
        <v>22</v>
      </c>
      <c r="M23" s="3" t="s">
        <v>22</v>
      </c>
      <c r="N23" s="3" t="s">
        <v>23</v>
      </c>
      <c r="O23" s="3">
        <v>999999</v>
      </c>
      <c r="P23" s="4">
        <v>456</v>
      </c>
      <c r="Q23" s="4" t="s">
        <v>27</v>
      </c>
      <c r="R23" s="2" t="s">
        <v>39</v>
      </c>
      <c r="T23"/>
    </row>
    <row r="24" spans="1:20" x14ac:dyDescent="0.25">
      <c r="A24" s="3" t="s">
        <v>17</v>
      </c>
      <c r="B24" s="3" t="s">
        <v>18</v>
      </c>
      <c r="C24" s="3">
        <v>301</v>
      </c>
      <c r="D24" s="3" t="s">
        <v>19</v>
      </c>
      <c r="E24" s="3" t="s">
        <v>19</v>
      </c>
      <c r="F24" s="3">
        <v>101</v>
      </c>
      <c r="G24" s="3" t="s">
        <v>24</v>
      </c>
      <c r="H24" s="3">
        <v>600000086</v>
      </c>
      <c r="I24" s="3">
        <v>102</v>
      </c>
      <c r="J24" s="3" t="s">
        <v>21</v>
      </c>
      <c r="K24" s="3">
        <v>1</v>
      </c>
      <c r="L24" s="3" t="s">
        <v>22</v>
      </c>
      <c r="M24" s="3" t="s">
        <v>22</v>
      </c>
      <c r="N24" s="3" t="s">
        <v>23</v>
      </c>
      <c r="O24" s="3">
        <v>999999</v>
      </c>
      <c r="P24" s="4">
        <v>534</v>
      </c>
      <c r="Q24" s="4" t="s">
        <v>27</v>
      </c>
      <c r="R24" s="2" t="s">
        <v>39</v>
      </c>
      <c r="T24"/>
    </row>
    <row r="25" spans="1:20" x14ac:dyDescent="0.25">
      <c r="A25" s="3" t="s">
        <v>17</v>
      </c>
      <c r="B25" s="3" t="s">
        <v>18</v>
      </c>
      <c r="C25" s="3">
        <v>301</v>
      </c>
      <c r="D25" s="3" t="s">
        <v>19</v>
      </c>
      <c r="E25" s="3" t="s">
        <v>19</v>
      </c>
      <c r="F25" s="3">
        <v>101</v>
      </c>
      <c r="G25" s="3" t="s">
        <v>24</v>
      </c>
      <c r="H25" s="3">
        <v>600000086</v>
      </c>
      <c r="I25" s="3">
        <v>102</v>
      </c>
      <c r="J25" s="3" t="s">
        <v>21</v>
      </c>
      <c r="K25" s="3">
        <v>1</v>
      </c>
      <c r="L25" s="3" t="s">
        <v>22</v>
      </c>
      <c r="M25" s="3" t="s">
        <v>22</v>
      </c>
      <c r="N25" s="3" t="s">
        <v>23</v>
      </c>
      <c r="O25" s="3">
        <v>999999</v>
      </c>
      <c r="P25" s="4">
        <v>346</v>
      </c>
      <c r="Q25" s="4" t="s">
        <v>27</v>
      </c>
      <c r="R25" s="2" t="s">
        <v>39</v>
      </c>
      <c r="T25"/>
    </row>
    <row r="26" spans="1:20" x14ac:dyDescent="0.25">
      <c r="A26" s="3" t="s">
        <v>17</v>
      </c>
      <c r="B26" s="3" t="s">
        <v>18</v>
      </c>
      <c r="C26" s="3">
        <v>301</v>
      </c>
      <c r="D26" s="3" t="s">
        <v>19</v>
      </c>
      <c r="E26" s="3" t="s">
        <v>19</v>
      </c>
      <c r="F26" s="3">
        <v>101</v>
      </c>
      <c r="G26" s="3" t="s">
        <v>24</v>
      </c>
      <c r="H26" s="3">
        <v>600000086</v>
      </c>
      <c r="I26" s="3">
        <v>102</v>
      </c>
      <c r="J26" s="3" t="s">
        <v>21</v>
      </c>
      <c r="K26" s="3">
        <v>1</v>
      </c>
      <c r="L26" s="3" t="s">
        <v>22</v>
      </c>
      <c r="M26" s="3" t="s">
        <v>22</v>
      </c>
      <c r="N26" s="3" t="s">
        <v>23</v>
      </c>
      <c r="O26" s="3">
        <v>999999</v>
      </c>
      <c r="P26" s="4">
        <v>56</v>
      </c>
      <c r="Q26" s="4" t="s">
        <v>27</v>
      </c>
      <c r="R26" s="2" t="s">
        <v>39</v>
      </c>
      <c r="T26"/>
    </row>
    <row r="27" spans="1:20" x14ac:dyDescent="0.25">
      <c r="A27" s="3" t="s">
        <v>17</v>
      </c>
      <c r="B27" s="3" t="s">
        <v>18</v>
      </c>
      <c r="C27" s="3">
        <v>301</v>
      </c>
      <c r="D27" s="3" t="s">
        <v>19</v>
      </c>
      <c r="E27" s="3" t="s">
        <v>19</v>
      </c>
      <c r="F27" s="3">
        <v>101</v>
      </c>
      <c r="G27" s="3" t="s">
        <v>24</v>
      </c>
      <c r="H27" s="3">
        <v>600000086</v>
      </c>
      <c r="I27" s="3">
        <v>102</v>
      </c>
      <c r="J27" s="3" t="s">
        <v>21</v>
      </c>
      <c r="K27" s="3">
        <v>1</v>
      </c>
      <c r="L27" s="3" t="s">
        <v>22</v>
      </c>
      <c r="M27" s="3" t="s">
        <v>22</v>
      </c>
      <c r="N27" s="3" t="s">
        <v>23</v>
      </c>
      <c r="O27" s="3">
        <v>999999</v>
      </c>
      <c r="P27" s="4">
        <v>34</v>
      </c>
      <c r="Q27" s="4" t="s">
        <v>27</v>
      </c>
      <c r="R27" s="2" t="s">
        <v>39</v>
      </c>
      <c r="T27"/>
    </row>
    <row r="28" spans="1:20" x14ac:dyDescent="0.25">
      <c r="A28" s="3" t="s">
        <v>17</v>
      </c>
      <c r="B28" s="3" t="s">
        <v>18</v>
      </c>
      <c r="C28" s="3">
        <v>301</v>
      </c>
      <c r="D28" s="3" t="s">
        <v>19</v>
      </c>
      <c r="E28" s="3" t="s">
        <v>19</v>
      </c>
      <c r="F28" s="3">
        <v>101</v>
      </c>
      <c r="G28" s="3" t="s">
        <v>24</v>
      </c>
      <c r="H28" s="3">
        <v>600000086</v>
      </c>
      <c r="I28" s="3">
        <v>102</v>
      </c>
      <c r="J28" s="3" t="s">
        <v>21</v>
      </c>
      <c r="K28" s="3">
        <v>1</v>
      </c>
      <c r="L28" s="3" t="s">
        <v>22</v>
      </c>
      <c r="M28" s="3" t="s">
        <v>22</v>
      </c>
      <c r="N28" s="3" t="s">
        <v>23</v>
      </c>
      <c r="O28" s="3">
        <v>999999</v>
      </c>
      <c r="P28" s="4">
        <v>1234587665</v>
      </c>
      <c r="Q28" s="4" t="s">
        <v>27</v>
      </c>
      <c r="R28" s="2" t="s">
        <v>39</v>
      </c>
      <c r="T28"/>
    </row>
    <row r="29" spans="1:20" x14ac:dyDescent="0.25">
      <c r="A29" s="3" t="s">
        <v>17</v>
      </c>
      <c r="B29" s="3" t="s">
        <v>18</v>
      </c>
      <c r="C29" s="3">
        <v>301</v>
      </c>
      <c r="D29" s="3" t="s">
        <v>19</v>
      </c>
      <c r="E29" s="3" t="s">
        <v>19</v>
      </c>
      <c r="F29" s="3">
        <v>101</v>
      </c>
      <c r="G29" s="3" t="s">
        <v>24</v>
      </c>
      <c r="H29" s="3">
        <v>600000086</v>
      </c>
      <c r="I29" s="3">
        <v>102</v>
      </c>
      <c r="J29" s="3" t="s">
        <v>21</v>
      </c>
      <c r="K29" s="3">
        <v>1</v>
      </c>
      <c r="L29" s="3" t="s">
        <v>22</v>
      </c>
      <c r="M29" s="3" t="s">
        <v>22</v>
      </c>
      <c r="N29" s="3" t="s">
        <v>23</v>
      </c>
      <c r="O29" s="3">
        <v>999999</v>
      </c>
      <c r="P29" s="4">
        <v>981234</v>
      </c>
      <c r="Q29" s="4" t="s">
        <v>27</v>
      </c>
      <c r="R29" s="2" t="s">
        <v>39</v>
      </c>
      <c r="T29"/>
    </row>
    <row r="30" spans="1:20" x14ac:dyDescent="0.25">
      <c r="A30" s="3" t="s">
        <v>17</v>
      </c>
      <c r="B30" s="3" t="s">
        <v>18</v>
      </c>
      <c r="C30" s="3">
        <v>301</v>
      </c>
      <c r="D30" s="3" t="s">
        <v>19</v>
      </c>
      <c r="E30" s="3" t="s">
        <v>19</v>
      </c>
      <c r="F30" s="3">
        <v>101</v>
      </c>
      <c r="G30" s="3" t="s">
        <v>24</v>
      </c>
      <c r="H30" s="3">
        <v>600000086</v>
      </c>
      <c r="I30" s="3">
        <v>102</v>
      </c>
      <c r="J30" s="3" t="s">
        <v>21</v>
      </c>
      <c r="K30" s="3">
        <v>1</v>
      </c>
      <c r="L30" s="3" t="s">
        <v>22</v>
      </c>
      <c r="M30" s="3" t="s">
        <v>22</v>
      </c>
      <c r="N30" s="3" t="s">
        <v>23</v>
      </c>
      <c r="O30" s="3">
        <v>999999</v>
      </c>
      <c r="P30" s="4">
        <v>7896545</v>
      </c>
      <c r="Q30" s="4" t="s">
        <v>27</v>
      </c>
      <c r="R30" s="2" t="s">
        <v>39</v>
      </c>
      <c r="T30"/>
    </row>
    <row r="31" spans="1:20" x14ac:dyDescent="0.25">
      <c r="A31" s="3" t="s">
        <v>17</v>
      </c>
      <c r="B31" s="3" t="s">
        <v>18</v>
      </c>
      <c r="C31" s="3">
        <v>301</v>
      </c>
      <c r="D31" s="3" t="s">
        <v>19</v>
      </c>
      <c r="E31" s="3" t="s">
        <v>19</v>
      </c>
      <c r="F31" s="3">
        <v>101</v>
      </c>
      <c r="G31" s="3" t="s">
        <v>24</v>
      </c>
      <c r="H31" s="3">
        <v>600000086</v>
      </c>
      <c r="I31" s="3">
        <v>102</v>
      </c>
      <c r="J31" s="3" t="s">
        <v>21</v>
      </c>
      <c r="K31" s="3">
        <v>1</v>
      </c>
      <c r="L31" s="3" t="s">
        <v>22</v>
      </c>
      <c r="M31" s="3" t="s">
        <v>22</v>
      </c>
      <c r="N31" s="3" t="s">
        <v>23</v>
      </c>
      <c r="O31" s="3">
        <v>999999</v>
      </c>
      <c r="P31" s="4">
        <v>346554</v>
      </c>
      <c r="Q31" s="4" t="s">
        <v>27</v>
      </c>
      <c r="R31" s="2" t="s">
        <v>39</v>
      </c>
      <c r="T31"/>
    </row>
    <row r="32" spans="1:20" x14ac:dyDescent="0.25">
      <c r="A32" s="3" t="s">
        <v>17</v>
      </c>
      <c r="B32" s="3" t="s">
        <v>18</v>
      </c>
      <c r="C32" s="3">
        <v>301</v>
      </c>
      <c r="D32" s="3" t="s">
        <v>19</v>
      </c>
      <c r="E32" s="3" t="s">
        <v>19</v>
      </c>
      <c r="F32" s="3">
        <v>101</v>
      </c>
      <c r="G32" s="3" t="s">
        <v>24</v>
      </c>
      <c r="H32" s="3">
        <v>600000086</v>
      </c>
      <c r="I32" s="3">
        <v>102</v>
      </c>
      <c r="J32" s="3" t="s">
        <v>21</v>
      </c>
      <c r="K32" s="3">
        <v>1</v>
      </c>
      <c r="L32" s="3" t="s">
        <v>22</v>
      </c>
      <c r="M32" s="3" t="s">
        <v>22</v>
      </c>
      <c r="N32" s="3" t="s">
        <v>23</v>
      </c>
      <c r="O32" s="3">
        <v>999999</v>
      </c>
      <c r="P32" s="4">
        <v>65732</v>
      </c>
      <c r="Q32" s="4" t="s">
        <v>27</v>
      </c>
      <c r="R32" s="2" t="s">
        <v>39</v>
      </c>
      <c r="T32"/>
    </row>
    <row r="33" spans="1:20" x14ac:dyDescent="0.25">
      <c r="A33" s="3" t="s">
        <v>17</v>
      </c>
      <c r="B33" s="3" t="s">
        <v>18</v>
      </c>
      <c r="C33" s="3">
        <v>301</v>
      </c>
      <c r="D33" s="3" t="s">
        <v>19</v>
      </c>
      <c r="E33" s="3" t="s">
        <v>19</v>
      </c>
      <c r="F33" s="3">
        <v>101</v>
      </c>
      <c r="G33" s="3" t="s">
        <v>24</v>
      </c>
      <c r="H33" s="3">
        <v>600000086</v>
      </c>
      <c r="I33" s="3">
        <v>102</v>
      </c>
      <c r="J33" s="3" t="s">
        <v>21</v>
      </c>
      <c r="K33" s="3">
        <v>1</v>
      </c>
      <c r="L33" s="3" t="s">
        <v>22</v>
      </c>
      <c r="M33" s="3" t="s">
        <v>22</v>
      </c>
      <c r="N33" s="3" t="s">
        <v>23</v>
      </c>
      <c r="O33" s="3">
        <v>999999</v>
      </c>
      <c r="P33" s="4">
        <v>4567887</v>
      </c>
      <c r="Q33" s="4" t="s">
        <v>27</v>
      </c>
      <c r="R33" s="2" t="s">
        <v>39</v>
      </c>
      <c r="T33"/>
    </row>
    <row r="34" spans="1:20" x14ac:dyDescent="0.25">
      <c r="A34" s="3" t="s">
        <v>17</v>
      </c>
      <c r="B34" s="3" t="s">
        <v>18</v>
      </c>
      <c r="C34" s="3">
        <v>301</v>
      </c>
      <c r="D34" s="3" t="s">
        <v>19</v>
      </c>
      <c r="E34" s="3" t="s">
        <v>19</v>
      </c>
      <c r="F34" s="3">
        <v>101</v>
      </c>
      <c r="G34" s="3" t="s">
        <v>24</v>
      </c>
      <c r="H34" s="3">
        <v>600000086</v>
      </c>
      <c r="I34" s="3">
        <v>102</v>
      </c>
      <c r="J34" s="3" t="s">
        <v>21</v>
      </c>
      <c r="K34" s="3">
        <v>1</v>
      </c>
      <c r="L34" s="3" t="s">
        <v>22</v>
      </c>
      <c r="M34" s="3" t="s">
        <v>22</v>
      </c>
      <c r="N34" s="3" t="s">
        <v>23</v>
      </c>
      <c r="O34" s="3">
        <v>999999</v>
      </c>
      <c r="P34" s="4">
        <v>98787</v>
      </c>
      <c r="Q34" s="4" t="s">
        <v>27</v>
      </c>
      <c r="R34" s="2" t="s">
        <v>39</v>
      </c>
      <c r="T34"/>
    </row>
    <row r="35" spans="1:20" x14ac:dyDescent="0.25">
      <c r="A35" s="3" t="s">
        <v>17</v>
      </c>
      <c r="B35" s="3" t="s">
        <v>18</v>
      </c>
      <c r="C35" s="3">
        <v>301</v>
      </c>
      <c r="D35" s="3" t="s">
        <v>19</v>
      </c>
      <c r="E35" s="3" t="s">
        <v>19</v>
      </c>
      <c r="F35" s="3">
        <v>101</v>
      </c>
      <c r="G35" s="3" t="s">
        <v>24</v>
      </c>
      <c r="H35" s="3">
        <v>600000086</v>
      </c>
      <c r="I35" s="3">
        <v>102</v>
      </c>
      <c r="J35" s="3" t="s">
        <v>21</v>
      </c>
      <c r="K35" s="3">
        <v>1</v>
      </c>
      <c r="L35" s="3" t="s">
        <v>22</v>
      </c>
      <c r="M35" s="3" t="s">
        <v>22</v>
      </c>
      <c r="N35" s="3" t="s">
        <v>23</v>
      </c>
      <c r="O35" s="3">
        <v>999999</v>
      </c>
      <c r="P35" s="4">
        <v>2234</v>
      </c>
      <c r="Q35" s="4" t="s">
        <v>27</v>
      </c>
      <c r="R35" s="2" t="s">
        <v>39</v>
      </c>
      <c r="T35"/>
    </row>
    <row r="36" spans="1:20" x14ac:dyDescent="0.25">
      <c r="A36" s="3" t="s">
        <v>17</v>
      </c>
      <c r="B36" s="3" t="s">
        <v>18</v>
      </c>
      <c r="C36" s="3">
        <v>301</v>
      </c>
      <c r="D36" s="3" t="s">
        <v>19</v>
      </c>
      <c r="E36" s="3" t="s">
        <v>19</v>
      </c>
      <c r="F36" s="3">
        <v>101</v>
      </c>
      <c r="G36" s="3" t="s">
        <v>24</v>
      </c>
      <c r="H36" s="3">
        <v>600000086</v>
      </c>
      <c r="I36" s="3">
        <v>102</v>
      </c>
      <c r="J36" s="3" t="s">
        <v>21</v>
      </c>
      <c r="K36" s="3">
        <v>1</v>
      </c>
      <c r="L36" s="3" t="s">
        <v>22</v>
      </c>
      <c r="M36" s="3" t="s">
        <v>22</v>
      </c>
      <c r="N36" s="3" t="s">
        <v>23</v>
      </c>
      <c r="O36" s="3">
        <v>999999</v>
      </c>
      <c r="P36" s="4">
        <v>5465</v>
      </c>
      <c r="Q36" s="4" t="s">
        <v>27</v>
      </c>
      <c r="R36" s="2" t="s">
        <v>39</v>
      </c>
      <c r="T36"/>
    </row>
    <row r="37" spans="1:20" x14ac:dyDescent="0.25">
      <c r="A37" s="3" t="s">
        <v>17</v>
      </c>
      <c r="B37" s="3" t="s">
        <v>18</v>
      </c>
      <c r="C37" s="3">
        <v>301</v>
      </c>
      <c r="D37" s="3" t="s">
        <v>19</v>
      </c>
      <c r="E37" s="3" t="s">
        <v>19</v>
      </c>
      <c r="F37" s="3">
        <v>101</v>
      </c>
      <c r="G37" s="3" t="s">
        <v>24</v>
      </c>
      <c r="H37" s="3">
        <v>600000086</v>
      </c>
      <c r="I37" s="3">
        <v>102</v>
      </c>
      <c r="J37" s="3" t="s">
        <v>21</v>
      </c>
      <c r="K37" s="3">
        <v>1</v>
      </c>
      <c r="L37" s="3" t="s">
        <v>22</v>
      </c>
      <c r="M37" s="3" t="s">
        <v>22</v>
      </c>
      <c r="N37" s="3" t="s">
        <v>23</v>
      </c>
      <c r="O37" s="3">
        <v>999999</v>
      </c>
      <c r="P37" s="4">
        <v>99</v>
      </c>
      <c r="Q37" s="4" t="s">
        <v>27</v>
      </c>
      <c r="R37" s="2" t="s">
        <v>39</v>
      </c>
      <c r="T37"/>
    </row>
    <row r="38" spans="1:20" x14ac:dyDescent="0.25">
      <c r="A38" s="3" t="s">
        <v>17</v>
      </c>
      <c r="B38" s="3" t="s">
        <v>18</v>
      </c>
      <c r="C38" s="3">
        <v>301</v>
      </c>
      <c r="D38" s="3" t="s">
        <v>19</v>
      </c>
      <c r="E38" s="3" t="s">
        <v>19</v>
      </c>
      <c r="F38" s="3">
        <v>101</v>
      </c>
      <c r="G38" s="3" t="s">
        <v>24</v>
      </c>
      <c r="H38" s="3">
        <v>600000086</v>
      </c>
      <c r="I38" s="3">
        <v>102</v>
      </c>
      <c r="J38" s="3" t="s">
        <v>21</v>
      </c>
      <c r="K38" s="3">
        <v>1</v>
      </c>
      <c r="L38" s="3" t="s">
        <v>22</v>
      </c>
      <c r="M38" s="3" t="s">
        <v>22</v>
      </c>
      <c r="N38" s="3" t="s">
        <v>23</v>
      </c>
      <c r="O38" s="3">
        <v>999999</v>
      </c>
      <c r="P38" s="4">
        <v>6787689</v>
      </c>
      <c r="Q38" s="4" t="s">
        <v>27</v>
      </c>
      <c r="R38" s="2" t="s">
        <v>39</v>
      </c>
      <c r="T38"/>
    </row>
    <row r="39" spans="1:20" x14ac:dyDescent="0.25">
      <c r="A39" s="3" t="s">
        <v>17</v>
      </c>
      <c r="B39" s="3" t="s">
        <v>18</v>
      </c>
      <c r="C39" s="3">
        <v>301</v>
      </c>
      <c r="D39" s="3" t="s">
        <v>19</v>
      </c>
      <c r="E39" s="3" t="s">
        <v>19</v>
      </c>
      <c r="F39" s="3">
        <v>101</v>
      </c>
      <c r="G39" s="3" t="s">
        <v>24</v>
      </c>
      <c r="H39" s="3">
        <v>600000086</v>
      </c>
      <c r="I39" s="3">
        <v>102</v>
      </c>
      <c r="J39" s="3" t="s">
        <v>21</v>
      </c>
      <c r="K39" s="3">
        <v>1</v>
      </c>
      <c r="L39" s="3" t="s">
        <v>22</v>
      </c>
      <c r="M39" s="3" t="s">
        <v>22</v>
      </c>
      <c r="N39" s="3" t="s">
        <v>23</v>
      </c>
      <c r="O39" s="3">
        <v>999999</v>
      </c>
      <c r="P39" s="4">
        <v>34534577</v>
      </c>
      <c r="Q39" s="4" t="s">
        <v>27</v>
      </c>
      <c r="R39" s="2" t="s">
        <v>39</v>
      </c>
      <c r="T39"/>
    </row>
    <row r="40" spans="1:20" x14ac:dyDescent="0.25">
      <c r="A40" s="3" t="s">
        <v>17</v>
      </c>
      <c r="B40" s="3" t="s">
        <v>18</v>
      </c>
      <c r="C40" s="3">
        <v>301</v>
      </c>
      <c r="D40" s="3" t="s">
        <v>19</v>
      </c>
      <c r="E40" s="3" t="s">
        <v>19</v>
      </c>
      <c r="F40" s="3">
        <v>101</v>
      </c>
      <c r="G40" s="3" t="s">
        <v>24</v>
      </c>
      <c r="H40" s="3">
        <v>600000086</v>
      </c>
      <c r="I40" s="3">
        <v>102</v>
      </c>
      <c r="J40" s="3" t="s">
        <v>21</v>
      </c>
      <c r="K40" s="3">
        <v>1</v>
      </c>
      <c r="L40" s="3" t="s">
        <v>22</v>
      </c>
      <c r="M40" s="3" t="s">
        <v>22</v>
      </c>
      <c r="N40" s="3" t="s">
        <v>23</v>
      </c>
      <c r="O40" s="3">
        <v>999999</v>
      </c>
      <c r="P40" s="4">
        <v>436</v>
      </c>
      <c r="Q40" s="4" t="s">
        <v>27</v>
      </c>
      <c r="R40" s="2" t="s">
        <v>39</v>
      </c>
      <c r="T40"/>
    </row>
    <row r="41" spans="1:20" x14ac:dyDescent="0.25">
      <c r="A41" s="3" t="s">
        <v>17</v>
      </c>
      <c r="B41" s="3" t="s">
        <v>18</v>
      </c>
      <c r="C41" s="3">
        <v>301</v>
      </c>
      <c r="D41" s="3" t="s">
        <v>19</v>
      </c>
      <c r="E41" s="3" t="s">
        <v>19</v>
      </c>
      <c r="F41" s="3">
        <v>101</v>
      </c>
      <c r="G41" s="3" t="s">
        <v>24</v>
      </c>
      <c r="H41" s="3">
        <v>600000086</v>
      </c>
      <c r="I41" s="3">
        <v>102</v>
      </c>
      <c r="J41" s="3" t="s">
        <v>21</v>
      </c>
      <c r="K41" s="3">
        <v>1</v>
      </c>
      <c r="L41" s="3" t="s">
        <v>22</v>
      </c>
      <c r="M41" s="3" t="s">
        <v>22</v>
      </c>
      <c r="N41" s="3" t="s">
        <v>23</v>
      </c>
      <c r="O41" s="3">
        <v>999999</v>
      </c>
      <c r="P41" s="4">
        <v>346577698</v>
      </c>
      <c r="Q41" s="4" t="s">
        <v>27</v>
      </c>
      <c r="R41" s="2" t="s">
        <v>39</v>
      </c>
      <c r="T41"/>
    </row>
    <row r="42" spans="1:20" x14ac:dyDescent="0.25">
      <c r="A42" s="3" t="s">
        <v>17</v>
      </c>
      <c r="B42" s="3" t="s">
        <v>18</v>
      </c>
      <c r="C42" s="3">
        <v>301</v>
      </c>
      <c r="D42" s="3" t="s">
        <v>19</v>
      </c>
      <c r="E42" s="3" t="s">
        <v>19</v>
      </c>
      <c r="F42" s="3">
        <v>101</v>
      </c>
      <c r="G42" s="3" t="s">
        <v>24</v>
      </c>
      <c r="H42" s="3">
        <v>600000086</v>
      </c>
      <c r="I42" s="3">
        <v>102</v>
      </c>
      <c r="J42" s="3" t="s">
        <v>21</v>
      </c>
      <c r="K42" s="3">
        <v>1</v>
      </c>
      <c r="L42" s="3" t="s">
        <v>22</v>
      </c>
      <c r="M42" s="3" t="s">
        <v>22</v>
      </c>
      <c r="N42" s="3" t="s">
        <v>23</v>
      </c>
      <c r="O42" s="3">
        <v>999999</v>
      </c>
      <c r="P42" s="4">
        <v>456456</v>
      </c>
      <c r="Q42" s="4" t="s">
        <v>27</v>
      </c>
      <c r="R42" s="2" t="s">
        <v>39</v>
      </c>
      <c r="T42"/>
    </row>
    <row r="43" spans="1:20" x14ac:dyDescent="0.25">
      <c r="A43" s="3" t="s">
        <v>17</v>
      </c>
      <c r="B43" s="3" t="s">
        <v>18</v>
      </c>
      <c r="C43" s="3">
        <v>301</v>
      </c>
      <c r="D43" s="3" t="s">
        <v>19</v>
      </c>
      <c r="E43" s="3" t="s">
        <v>19</v>
      </c>
      <c r="F43" s="3">
        <v>101</v>
      </c>
      <c r="G43" s="3" t="s">
        <v>24</v>
      </c>
      <c r="H43" s="3">
        <v>600000086</v>
      </c>
      <c r="I43" s="3">
        <v>102</v>
      </c>
      <c r="J43" s="3" t="s">
        <v>21</v>
      </c>
      <c r="K43" s="3">
        <v>1</v>
      </c>
      <c r="L43" s="3" t="s">
        <v>22</v>
      </c>
      <c r="M43" s="3" t="s">
        <v>22</v>
      </c>
      <c r="N43" s="3" t="s">
        <v>23</v>
      </c>
      <c r="O43" s="3">
        <v>999999</v>
      </c>
      <c r="P43" s="4">
        <v>987098</v>
      </c>
      <c r="Q43" s="4" t="s">
        <v>27</v>
      </c>
      <c r="R43" s="2" t="s">
        <v>39</v>
      </c>
      <c r="T43"/>
    </row>
    <row r="44" spans="1:20" x14ac:dyDescent="0.25">
      <c r="A44" s="3" t="s">
        <v>17</v>
      </c>
      <c r="B44" s="3" t="s">
        <v>18</v>
      </c>
      <c r="C44" s="3">
        <v>301</v>
      </c>
      <c r="D44" s="3" t="s">
        <v>19</v>
      </c>
      <c r="E44" s="3" t="s">
        <v>19</v>
      </c>
      <c r="F44" s="3">
        <v>101</v>
      </c>
      <c r="G44" s="3" t="s">
        <v>24</v>
      </c>
      <c r="H44" s="3">
        <v>600000086</v>
      </c>
      <c r="I44" s="3">
        <v>102</v>
      </c>
      <c r="J44" s="3" t="s">
        <v>21</v>
      </c>
      <c r="K44" s="3">
        <v>1</v>
      </c>
      <c r="L44" s="3" t="s">
        <v>22</v>
      </c>
      <c r="M44" s="3" t="s">
        <v>22</v>
      </c>
      <c r="N44" s="3" t="s">
        <v>23</v>
      </c>
      <c r="O44" s="3">
        <v>999999</v>
      </c>
      <c r="P44" s="4">
        <v>63467</v>
      </c>
      <c r="Q44" s="4" t="s">
        <v>27</v>
      </c>
      <c r="R44" s="2" t="s">
        <v>39</v>
      </c>
      <c r="T44"/>
    </row>
    <row r="45" spans="1:20" x14ac:dyDescent="0.25">
      <c r="A45" s="3" t="s">
        <v>17</v>
      </c>
      <c r="B45" s="3" t="s">
        <v>18</v>
      </c>
      <c r="C45" s="3">
        <v>301</v>
      </c>
      <c r="D45" s="3" t="s">
        <v>19</v>
      </c>
      <c r="E45" s="3" t="s">
        <v>19</v>
      </c>
      <c r="F45" s="3">
        <v>101</v>
      </c>
      <c r="G45" s="3" t="s">
        <v>24</v>
      </c>
      <c r="H45" s="3">
        <v>600000086</v>
      </c>
      <c r="I45" s="3">
        <v>102</v>
      </c>
      <c r="J45" s="3" t="s">
        <v>21</v>
      </c>
      <c r="K45" s="3">
        <v>1</v>
      </c>
      <c r="L45" s="3" t="s">
        <v>22</v>
      </c>
      <c r="M45" s="3" t="s">
        <v>22</v>
      </c>
      <c r="N45" s="3" t="s">
        <v>23</v>
      </c>
      <c r="O45" s="3">
        <v>999999</v>
      </c>
      <c r="P45" s="4">
        <v>98324587</v>
      </c>
      <c r="Q45" s="4" t="s">
        <v>27</v>
      </c>
      <c r="R45" s="2" t="s">
        <v>39</v>
      </c>
      <c r="T45"/>
    </row>
    <row r="46" spans="1:20" x14ac:dyDescent="0.25">
      <c r="A46" s="3" t="s">
        <v>17</v>
      </c>
      <c r="B46" s="3" t="s">
        <v>18</v>
      </c>
      <c r="C46" s="3">
        <v>301</v>
      </c>
      <c r="D46" s="3" t="s">
        <v>19</v>
      </c>
      <c r="E46" s="3" t="s">
        <v>19</v>
      </c>
      <c r="F46" s="3">
        <v>101</v>
      </c>
      <c r="G46" s="3" t="s">
        <v>24</v>
      </c>
      <c r="H46" s="3">
        <v>600000086</v>
      </c>
      <c r="I46" s="3">
        <v>102</v>
      </c>
      <c r="J46" s="3" t="s">
        <v>21</v>
      </c>
      <c r="K46" s="3">
        <v>1</v>
      </c>
      <c r="L46" s="3" t="s">
        <v>22</v>
      </c>
      <c r="M46" s="3" t="s">
        <v>22</v>
      </c>
      <c r="N46" s="3" t="s">
        <v>23</v>
      </c>
      <c r="O46" s="3">
        <v>999999</v>
      </c>
      <c r="P46" s="4">
        <v>7896572</v>
      </c>
      <c r="Q46" s="4" t="s">
        <v>27</v>
      </c>
      <c r="R46" s="2" t="s">
        <v>39</v>
      </c>
      <c r="T46"/>
    </row>
    <row r="47" spans="1:20" x14ac:dyDescent="0.25">
      <c r="A47" s="3" t="s">
        <v>17</v>
      </c>
      <c r="B47" s="3" t="s">
        <v>18</v>
      </c>
      <c r="C47" s="3">
        <v>301</v>
      </c>
      <c r="D47" s="3" t="s">
        <v>19</v>
      </c>
      <c r="E47" s="3" t="s">
        <v>19</v>
      </c>
      <c r="F47" s="3">
        <v>101</v>
      </c>
      <c r="G47" s="3" t="s">
        <v>24</v>
      </c>
      <c r="H47" s="3">
        <v>600000086</v>
      </c>
      <c r="I47" s="3">
        <v>102</v>
      </c>
      <c r="J47" s="3" t="s">
        <v>21</v>
      </c>
      <c r="K47" s="3">
        <v>1</v>
      </c>
      <c r="L47" s="3" t="s">
        <v>22</v>
      </c>
      <c r="M47" s="3" t="s">
        <v>22</v>
      </c>
      <c r="N47" s="3" t="s">
        <v>23</v>
      </c>
      <c r="O47" s="3">
        <v>999999</v>
      </c>
      <c r="P47" s="4">
        <v>3453452</v>
      </c>
      <c r="Q47" s="4" t="s">
        <v>27</v>
      </c>
      <c r="R47" s="2" t="s">
        <v>39</v>
      </c>
      <c r="T47"/>
    </row>
    <row r="48" spans="1:20" x14ac:dyDescent="0.25">
      <c r="A48" s="3" t="s">
        <v>17</v>
      </c>
      <c r="B48" s="3" t="s">
        <v>18</v>
      </c>
      <c r="C48" s="3">
        <v>301</v>
      </c>
      <c r="D48" s="3" t="s">
        <v>19</v>
      </c>
      <c r="E48" s="3" t="s">
        <v>19</v>
      </c>
      <c r="F48" s="3">
        <v>101</v>
      </c>
      <c r="G48" s="3" t="s">
        <v>24</v>
      </c>
      <c r="H48" s="3">
        <v>600000086</v>
      </c>
      <c r="I48" s="3">
        <v>102</v>
      </c>
      <c r="J48" s="3" t="s">
        <v>21</v>
      </c>
      <c r="K48" s="3">
        <v>1</v>
      </c>
      <c r="L48" s="3" t="s">
        <v>22</v>
      </c>
      <c r="M48" s="3" t="s">
        <v>22</v>
      </c>
      <c r="N48" s="3" t="s">
        <v>23</v>
      </c>
      <c r="O48" s="3">
        <v>999999</v>
      </c>
      <c r="P48" s="4">
        <v>809</v>
      </c>
      <c r="Q48" s="4" t="s">
        <v>27</v>
      </c>
      <c r="R48" s="2" t="s">
        <v>39</v>
      </c>
      <c r="T48"/>
    </row>
    <row r="49" spans="1:20" x14ac:dyDescent="0.25">
      <c r="A49" s="3" t="s">
        <v>17</v>
      </c>
      <c r="B49" s="3" t="s">
        <v>18</v>
      </c>
      <c r="C49" s="3">
        <v>301</v>
      </c>
      <c r="D49" s="3" t="s">
        <v>19</v>
      </c>
      <c r="E49" s="3" t="s">
        <v>19</v>
      </c>
      <c r="F49" s="3">
        <v>101</v>
      </c>
      <c r="G49" s="3" t="s">
        <v>24</v>
      </c>
      <c r="H49" s="3">
        <v>600000086</v>
      </c>
      <c r="I49" s="3">
        <v>102</v>
      </c>
      <c r="J49" s="3" t="s">
        <v>21</v>
      </c>
      <c r="K49" s="3">
        <v>1</v>
      </c>
      <c r="L49" s="3" t="s">
        <v>22</v>
      </c>
      <c r="M49" s="3" t="s">
        <v>22</v>
      </c>
      <c r="N49" s="3" t="s">
        <v>23</v>
      </c>
      <c r="O49" s="3">
        <v>999999</v>
      </c>
      <c r="P49" s="4">
        <v>2345087</v>
      </c>
      <c r="Q49" s="4" t="s">
        <v>27</v>
      </c>
      <c r="R49" s="2" t="s">
        <v>39</v>
      </c>
      <c r="T49"/>
    </row>
    <row r="50" spans="1:20" x14ac:dyDescent="0.25">
      <c r="A50" s="3" t="s">
        <v>17</v>
      </c>
      <c r="B50" s="3" t="s">
        <v>18</v>
      </c>
      <c r="C50" s="3">
        <v>301</v>
      </c>
      <c r="D50" s="3" t="s">
        <v>19</v>
      </c>
      <c r="E50" s="3" t="s">
        <v>19</v>
      </c>
      <c r="F50" s="3">
        <v>101</v>
      </c>
      <c r="G50" s="3" t="s">
        <v>24</v>
      </c>
      <c r="H50" s="3">
        <v>600000086</v>
      </c>
      <c r="I50" s="3">
        <v>102</v>
      </c>
      <c r="J50" s="3" t="s">
        <v>21</v>
      </c>
      <c r="K50" s="3">
        <v>1</v>
      </c>
      <c r="L50" s="3" t="s">
        <v>22</v>
      </c>
      <c r="M50" s="3" t="s">
        <v>22</v>
      </c>
      <c r="N50" s="3" t="s">
        <v>23</v>
      </c>
      <c r="O50" s="3">
        <v>999999</v>
      </c>
      <c r="P50" s="4">
        <v>45645678</v>
      </c>
      <c r="Q50" s="4" t="s">
        <v>27</v>
      </c>
      <c r="R50" s="2" t="s">
        <v>39</v>
      </c>
      <c r="T50"/>
    </row>
    <row r="51" spans="1:20" x14ac:dyDescent="0.25">
      <c r="A51" s="3" t="s">
        <v>17</v>
      </c>
      <c r="B51" s="3" t="s">
        <v>18</v>
      </c>
      <c r="C51" s="3">
        <v>301</v>
      </c>
      <c r="D51" s="3" t="s">
        <v>19</v>
      </c>
      <c r="E51" s="3" t="s">
        <v>19</v>
      </c>
      <c r="F51" s="3">
        <v>101</v>
      </c>
      <c r="G51" s="3" t="s">
        <v>24</v>
      </c>
      <c r="H51" s="3">
        <v>600000086</v>
      </c>
      <c r="I51" s="3">
        <v>102</v>
      </c>
      <c r="J51" s="3" t="s">
        <v>21</v>
      </c>
      <c r="K51" s="3">
        <v>1</v>
      </c>
      <c r="L51" s="3" t="s">
        <v>22</v>
      </c>
      <c r="M51" s="3" t="s">
        <v>22</v>
      </c>
      <c r="N51" s="3" t="s">
        <v>23</v>
      </c>
      <c r="O51" s="3">
        <v>999999</v>
      </c>
      <c r="P51" s="4">
        <v>55</v>
      </c>
      <c r="Q51" s="4" t="s">
        <v>27</v>
      </c>
      <c r="R51" s="2" t="s">
        <v>39</v>
      </c>
      <c r="T51"/>
    </row>
    <row r="52" spans="1:20" x14ac:dyDescent="0.25">
      <c r="A52" s="3" t="s">
        <v>17</v>
      </c>
      <c r="B52" s="3" t="s">
        <v>18</v>
      </c>
      <c r="C52" s="3">
        <v>301</v>
      </c>
      <c r="D52" s="3" t="s">
        <v>19</v>
      </c>
      <c r="E52" s="3" t="s">
        <v>19</v>
      </c>
      <c r="F52" s="3">
        <v>101</v>
      </c>
      <c r="G52" s="3" t="s">
        <v>24</v>
      </c>
      <c r="H52" s="3">
        <v>600000086</v>
      </c>
      <c r="I52" s="3">
        <v>102</v>
      </c>
      <c r="J52" s="3" t="s">
        <v>21</v>
      </c>
      <c r="K52" s="3">
        <v>1</v>
      </c>
      <c r="L52" s="3" t="s">
        <v>22</v>
      </c>
      <c r="M52" s="3" t="s">
        <v>22</v>
      </c>
      <c r="N52" s="3" t="s">
        <v>23</v>
      </c>
      <c r="O52" s="3">
        <v>999999</v>
      </c>
      <c r="P52" s="4">
        <v>645999</v>
      </c>
      <c r="Q52" s="4" t="s">
        <v>27</v>
      </c>
      <c r="R52" s="2" t="s">
        <v>39</v>
      </c>
      <c r="T52"/>
    </row>
    <row r="53" spans="1:20" x14ac:dyDescent="0.25">
      <c r="A53" s="3" t="s">
        <v>17</v>
      </c>
      <c r="B53" s="3" t="s">
        <v>18</v>
      </c>
      <c r="C53" s="3">
        <v>301</v>
      </c>
      <c r="D53" s="3" t="s">
        <v>19</v>
      </c>
      <c r="E53" s="3" t="s">
        <v>19</v>
      </c>
      <c r="F53" s="3">
        <v>101</v>
      </c>
      <c r="G53" s="3" t="s">
        <v>24</v>
      </c>
      <c r="H53" s="3">
        <v>600000086</v>
      </c>
      <c r="I53" s="3">
        <v>102</v>
      </c>
      <c r="J53" s="3" t="s">
        <v>21</v>
      </c>
      <c r="K53" s="3">
        <v>1</v>
      </c>
      <c r="L53" s="3" t="s">
        <v>22</v>
      </c>
      <c r="M53" s="3" t="s">
        <v>22</v>
      </c>
      <c r="N53" s="3" t="s">
        <v>23</v>
      </c>
      <c r="O53" s="3">
        <v>999999</v>
      </c>
      <c r="P53" s="4">
        <v>7777</v>
      </c>
      <c r="Q53" s="4" t="s">
        <v>27</v>
      </c>
      <c r="R53" s="2" t="s">
        <v>39</v>
      </c>
      <c r="T53"/>
    </row>
    <row r="54" spans="1:20" x14ac:dyDescent="0.25">
      <c r="A54" s="3" t="s">
        <v>17</v>
      </c>
      <c r="B54" s="3" t="s">
        <v>18</v>
      </c>
      <c r="C54" s="3">
        <v>301</v>
      </c>
      <c r="D54" s="3" t="s">
        <v>19</v>
      </c>
      <c r="E54" s="3" t="s">
        <v>19</v>
      </c>
      <c r="F54" s="3">
        <v>101</v>
      </c>
      <c r="G54" s="3" t="s">
        <v>24</v>
      </c>
      <c r="H54" s="3">
        <v>600000086</v>
      </c>
      <c r="I54" s="3">
        <v>102</v>
      </c>
      <c r="J54" s="3" t="s">
        <v>21</v>
      </c>
      <c r="K54" s="3">
        <v>1</v>
      </c>
      <c r="L54" s="3" t="s">
        <v>22</v>
      </c>
      <c r="M54" s="3" t="s">
        <v>22</v>
      </c>
      <c r="N54" s="3" t="s">
        <v>23</v>
      </c>
      <c r="O54" s="3">
        <v>999999</v>
      </c>
      <c r="P54" s="4">
        <v>7654543</v>
      </c>
      <c r="Q54" s="4" t="s">
        <v>27</v>
      </c>
      <c r="R54" s="2" t="s">
        <v>39</v>
      </c>
      <c r="T54"/>
    </row>
    <row r="55" spans="1:20" x14ac:dyDescent="0.25">
      <c r="A55" s="3" t="s">
        <v>17</v>
      </c>
      <c r="B55" s="3" t="s">
        <v>18</v>
      </c>
      <c r="C55" s="3">
        <v>542</v>
      </c>
      <c r="D55" s="3" t="s">
        <v>19</v>
      </c>
      <c r="E55" s="3" t="s">
        <v>19</v>
      </c>
      <c r="F55" s="3" t="s">
        <v>25</v>
      </c>
      <c r="G55" s="3" t="s">
        <v>25</v>
      </c>
      <c r="H55" s="3">
        <v>600000371</v>
      </c>
      <c r="I55" s="3">
        <v>102</v>
      </c>
      <c r="J55" s="3" t="s">
        <v>21</v>
      </c>
      <c r="K55" s="3">
        <v>1</v>
      </c>
      <c r="L55" s="3" t="s">
        <v>22</v>
      </c>
      <c r="M55" s="3" t="s">
        <v>22</v>
      </c>
      <c r="N55" s="3" t="s">
        <v>23</v>
      </c>
      <c r="O55" s="3">
        <v>4000000138</v>
      </c>
      <c r="P55" s="4">
        <v>1002191657</v>
      </c>
      <c r="Q55" s="4" t="s">
        <v>28</v>
      </c>
      <c r="R55" s="2" t="s">
        <v>33</v>
      </c>
      <c r="T55"/>
    </row>
    <row r="56" spans="1:20" x14ac:dyDescent="0.25">
      <c r="A56" s="3" t="s">
        <v>17</v>
      </c>
      <c r="B56" s="3" t="s">
        <v>18</v>
      </c>
      <c r="C56" s="3">
        <v>542</v>
      </c>
      <c r="D56" s="3" t="s">
        <v>19</v>
      </c>
      <c r="E56" s="3" t="s">
        <v>19</v>
      </c>
      <c r="F56" s="3" t="s">
        <v>25</v>
      </c>
      <c r="G56" s="3" t="s">
        <v>25</v>
      </c>
      <c r="H56" s="3">
        <v>600000371</v>
      </c>
      <c r="I56" s="3">
        <v>102</v>
      </c>
      <c r="J56" s="3" t="s">
        <v>21</v>
      </c>
      <c r="K56" s="3">
        <v>1</v>
      </c>
      <c r="L56" s="3" t="s">
        <v>22</v>
      </c>
      <c r="M56" s="3" t="s">
        <v>22</v>
      </c>
      <c r="N56" s="3" t="s">
        <v>23</v>
      </c>
      <c r="O56" s="3">
        <v>4000000138</v>
      </c>
      <c r="P56" s="4">
        <v>1002191660</v>
      </c>
      <c r="Q56" s="4" t="s">
        <v>28</v>
      </c>
      <c r="R56" s="2" t="s">
        <v>33</v>
      </c>
      <c r="T56"/>
    </row>
    <row r="57" spans="1:20" x14ac:dyDescent="0.25">
      <c r="A57" s="3" t="s">
        <v>17</v>
      </c>
      <c r="B57" s="3" t="s">
        <v>18</v>
      </c>
      <c r="C57" s="3">
        <v>542</v>
      </c>
      <c r="D57" s="3" t="s">
        <v>19</v>
      </c>
      <c r="E57" s="3" t="s">
        <v>19</v>
      </c>
      <c r="F57" s="3" t="s">
        <v>25</v>
      </c>
      <c r="G57" s="3" t="s">
        <v>25</v>
      </c>
      <c r="H57" s="3">
        <v>600000371</v>
      </c>
      <c r="I57" s="3">
        <v>102</v>
      </c>
      <c r="J57" s="3" t="s">
        <v>21</v>
      </c>
      <c r="K57" s="3">
        <v>1</v>
      </c>
      <c r="L57" s="3" t="s">
        <v>22</v>
      </c>
      <c r="M57" s="3" t="s">
        <v>22</v>
      </c>
      <c r="N57" s="3" t="s">
        <v>23</v>
      </c>
      <c r="O57" s="3">
        <v>4000000138</v>
      </c>
      <c r="P57" s="4">
        <v>1002191666</v>
      </c>
      <c r="Q57" s="4" t="s">
        <v>28</v>
      </c>
      <c r="R57" s="2" t="s">
        <v>33</v>
      </c>
      <c r="T57"/>
    </row>
    <row r="58" spans="1:20" x14ac:dyDescent="0.25">
      <c r="A58" s="3" t="s">
        <v>17</v>
      </c>
      <c r="B58" s="3" t="s">
        <v>18</v>
      </c>
      <c r="C58" s="3">
        <v>542</v>
      </c>
      <c r="D58" s="3" t="s">
        <v>19</v>
      </c>
      <c r="E58" s="3" t="s">
        <v>19</v>
      </c>
      <c r="F58" s="3" t="s">
        <v>25</v>
      </c>
      <c r="G58" s="3" t="s">
        <v>25</v>
      </c>
      <c r="H58" s="3">
        <v>600000371</v>
      </c>
      <c r="I58" s="3">
        <v>102</v>
      </c>
      <c r="J58" s="3" t="s">
        <v>21</v>
      </c>
      <c r="K58" s="3">
        <v>1</v>
      </c>
      <c r="L58" s="3" t="s">
        <v>22</v>
      </c>
      <c r="M58" s="3" t="s">
        <v>22</v>
      </c>
      <c r="N58" s="3" t="s">
        <v>23</v>
      </c>
      <c r="O58" s="3">
        <v>4000000138</v>
      </c>
      <c r="P58" s="4">
        <v>1002191658</v>
      </c>
      <c r="Q58" s="4" t="s">
        <v>28</v>
      </c>
      <c r="R58" s="2" t="s">
        <v>33</v>
      </c>
      <c r="T58"/>
    </row>
    <row r="59" spans="1:20" x14ac:dyDescent="0.25">
      <c r="A59" s="3" t="s">
        <v>17</v>
      </c>
      <c r="B59" s="3" t="s">
        <v>18</v>
      </c>
      <c r="C59" s="3">
        <v>542</v>
      </c>
      <c r="D59" s="3" t="s">
        <v>19</v>
      </c>
      <c r="E59" s="3" t="s">
        <v>19</v>
      </c>
      <c r="F59" s="3" t="s">
        <v>25</v>
      </c>
      <c r="G59" s="3" t="s">
        <v>25</v>
      </c>
      <c r="H59" s="3">
        <v>600000371</v>
      </c>
      <c r="I59" s="3">
        <v>102</v>
      </c>
      <c r="J59" s="3" t="s">
        <v>21</v>
      </c>
      <c r="K59" s="3">
        <v>1</v>
      </c>
      <c r="L59" s="3" t="s">
        <v>22</v>
      </c>
      <c r="M59" s="3" t="s">
        <v>22</v>
      </c>
      <c r="N59" s="3" t="s">
        <v>23</v>
      </c>
      <c r="O59" s="3">
        <v>4000000138</v>
      </c>
      <c r="P59" s="4">
        <v>1002191659</v>
      </c>
      <c r="Q59" s="4" t="s">
        <v>28</v>
      </c>
      <c r="R59" s="2" t="s">
        <v>33</v>
      </c>
      <c r="T59"/>
    </row>
    <row r="60" spans="1:20" x14ac:dyDescent="0.25">
      <c r="A60" s="3" t="s">
        <v>17</v>
      </c>
      <c r="B60" s="3" t="s">
        <v>18</v>
      </c>
      <c r="C60" s="3">
        <v>541</v>
      </c>
      <c r="D60" s="3" t="s">
        <v>19</v>
      </c>
      <c r="E60" s="3" t="s">
        <v>19</v>
      </c>
      <c r="F60" s="3" t="s">
        <v>25</v>
      </c>
      <c r="G60" s="3" t="s">
        <v>25</v>
      </c>
      <c r="H60" s="3">
        <v>600000371</v>
      </c>
      <c r="I60" s="3">
        <v>102</v>
      </c>
      <c r="J60" s="3" t="s">
        <v>21</v>
      </c>
      <c r="K60" s="3">
        <v>1</v>
      </c>
      <c r="L60" s="3" t="s">
        <v>22</v>
      </c>
      <c r="M60" s="3" t="s">
        <v>22</v>
      </c>
      <c r="N60" s="3" t="s">
        <v>23</v>
      </c>
      <c r="O60" s="3">
        <v>1000000099</v>
      </c>
      <c r="P60" s="4">
        <v>1002193239</v>
      </c>
      <c r="Q60" s="4" t="s">
        <v>29</v>
      </c>
      <c r="R60" s="2" t="s">
        <v>34</v>
      </c>
      <c r="T60"/>
    </row>
    <row r="61" spans="1:20" x14ac:dyDescent="0.25">
      <c r="A61" s="3" t="s">
        <v>17</v>
      </c>
      <c r="B61" s="3" t="s">
        <v>18</v>
      </c>
      <c r="C61" s="3">
        <v>541</v>
      </c>
      <c r="D61" s="3" t="s">
        <v>19</v>
      </c>
      <c r="E61" s="3" t="s">
        <v>19</v>
      </c>
      <c r="F61" s="3" t="s">
        <v>25</v>
      </c>
      <c r="G61" s="3" t="s">
        <v>25</v>
      </c>
      <c r="H61" s="3">
        <v>600000371</v>
      </c>
      <c r="I61" s="3">
        <v>102</v>
      </c>
      <c r="J61" s="3" t="s">
        <v>21</v>
      </c>
      <c r="K61" s="3">
        <v>1</v>
      </c>
      <c r="L61" s="3" t="s">
        <v>22</v>
      </c>
      <c r="M61" s="3" t="s">
        <v>22</v>
      </c>
      <c r="N61" s="3" t="s">
        <v>23</v>
      </c>
      <c r="O61" s="3">
        <v>1000000099</v>
      </c>
      <c r="P61" s="4">
        <v>1002192653</v>
      </c>
      <c r="Q61" s="4" t="s">
        <v>30</v>
      </c>
      <c r="R61" s="2" t="s">
        <v>35</v>
      </c>
      <c r="T61"/>
    </row>
    <row r="62" spans="1:20" x14ac:dyDescent="0.25">
      <c r="A62" s="3" t="s">
        <v>17</v>
      </c>
      <c r="B62" s="3" t="s">
        <v>18</v>
      </c>
      <c r="C62" s="3">
        <v>541</v>
      </c>
      <c r="D62" s="3" t="s">
        <v>19</v>
      </c>
      <c r="E62" s="3" t="s">
        <v>19</v>
      </c>
      <c r="F62" s="3" t="s">
        <v>25</v>
      </c>
      <c r="G62" s="3" t="s">
        <v>25</v>
      </c>
      <c r="H62" s="3">
        <v>600000371</v>
      </c>
      <c r="I62" s="3">
        <v>102</v>
      </c>
      <c r="J62" s="3" t="s">
        <v>21</v>
      </c>
      <c r="K62" s="3">
        <v>1</v>
      </c>
      <c r="L62" s="3" t="s">
        <v>22</v>
      </c>
      <c r="M62" s="3" t="s">
        <v>22</v>
      </c>
      <c r="N62" s="3" t="s">
        <v>23</v>
      </c>
      <c r="O62" s="3">
        <v>1000000099</v>
      </c>
      <c r="P62" s="4">
        <v>1002192652</v>
      </c>
      <c r="Q62" s="4" t="s">
        <v>30</v>
      </c>
      <c r="R62" s="2" t="s">
        <v>35</v>
      </c>
      <c r="T62"/>
    </row>
    <row r="63" spans="1:20" x14ac:dyDescent="0.25">
      <c r="A63" s="3" t="s">
        <v>17</v>
      </c>
      <c r="B63" s="3" t="s">
        <v>18</v>
      </c>
      <c r="C63" s="3">
        <v>541</v>
      </c>
      <c r="D63" s="3" t="s">
        <v>19</v>
      </c>
      <c r="E63" s="3" t="s">
        <v>19</v>
      </c>
      <c r="F63" s="3" t="s">
        <v>25</v>
      </c>
      <c r="G63" s="3" t="s">
        <v>25</v>
      </c>
      <c r="H63" s="3">
        <v>600000371</v>
      </c>
      <c r="I63" s="3">
        <v>102</v>
      </c>
      <c r="J63" s="3" t="s">
        <v>21</v>
      </c>
      <c r="K63" s="3">
        <v>1</v>
      </c>
      <c r="L63" s="3" t="s">
        <v>22</v>
      </c>
      <c r="M63" s="3" t="s">
        <v>22</v>
      </c>
      <c r="N63" s="3" t="s">
        <v>23</v>
      </c>
      <c r="O63" s="3">
        <v>1000000099</v>
      </c>
      <c r="P63" s="4">
        <v>1002192654</v>
      </c>
      <c r="Q63" s="4" t="s">
        <v>30</v>
      </c>
      <c r="R63" s="2" t="s">
        <v>35</v>
      </c>
      <c r="T63"/>
    </row>
    <row r="64" spans="1:20" x14ac:dyDescent="0.25">
      <c r="A64" s="3" t="s">
        <v>17</v>
      </c>
      <c r="B64" s="3" t="s">
        <v>18</v>
      </c>
      <c r="C64" s="3">
        <v>541</v>
      </c>
      <c r="D64" s="3" t="s">
        <v>19</v>
      </c>
      <c r="E64" s="3" t="s">
        <v>19</v>
      </c>
      <c r="F64" s="3" t="s">
        <v>25</v>
      </c>
      <c r="G64" s="3" t="s">
        <v>25</v>
      </c>
      <c r="H64" s="3">
        <v>600000371</v>
      </c>
      <c r="I64" s="3">
        <v>102</v>
      </c>
      <c r="J64" s="3" t="s">
        <v>21</v>
      </c>
      <c r="K64" s="3">
        <v>1</v>
      </c>
      <c r="L64" s="3" t="s">
        <v>22</v>
      </c>
      <c r="M64" s="3" t="s">
        <v>22</v>
      </c>
      <c r="N64" s="3" t="s">
        <v>23</v>
      </c>
      <c r="O64" s="3">
        <v>1000000360</v>
      </c>
      <c r="P64" s="4">
        <v>1002192620</v>
      </c>
      <c r="Q64" s="4" t="s">
        <v>31</v>
      </c>
      <c r="R64" s="2" t="s">
        <v>36</v>
      </c>
      <c r="T64"/>
    </row>
    <row r="65" spans="1:20" x14ac:dyDescent="0.25">
      <c r="A65" s="3" t="s">
        <v>17</v>
      </c>
      <c r="B65" s="3" t="s">
        <v>18</v>
      </c>
      <c r="C65" s="3">
        <v>541</v>
      </c>
      <c r="D65" s="3" t="s">
        <v>19</v>
      </c>
      <c r="E65" s="3" t="s">
        <v>19</v>
      </c>
      <c r="F65" s="3" t="s">
        <v>25</v>
      </c>
      <c r="G65" s="3" t="s">
        <v>25</v>
      </c>
      <c r="H65" s="3">
        <v>600000379</v>
      </c>
      <c r="I65" s="3">
        <v>102</v>
      </c>
      <c r="J65" s="3" t="s">
        <v>21</v>
      </c>
      <c r="K65" s="3">
        <v>1</v>
      </c>
      <c r="L65" s="3" t="s">
        <v>22</v>
      </c>
      <c r="M65" s="3" t="s">
        <v>22</v>
      </c>
      <c r="N65" s="3" t="s">
        <v>23</v>
      </c>
      <c r="O65" s="3">
        <v>1000000099</v>
      </c>
      <c r="P65" s="4">
        <v>1001885895</v>
      </c>
      <c r="Q65" s="4" t="s">
        <v>32</v>
      </c>
      <c r="R65" s="2" t="s">
        <v>37</v>
      </c>
      <c r="T65"/>
    </row>
    <row r="66" spans="1:20" x14ac:dyDescent="0.25">
      <c r="T66"/>
    </row>
  </sheetData>
  <sheetProtection formatCells="0" formatColumns="0" formatRows="0" insertColumns="0" insertRows="0" insertHyperlinks="0" deleteColumns="0" deleteRows="0" selectLockedCells="1" sort="0" autoFilter="0" pivotTables="0"/>
  <sortState xmlns:xlrd2="http://schemas.microsoft.com/office/spreadsheetml/2017/richdata2" ref="A9:S65">
    <sortCondition ref="S9:S65"/>
  </sortState>
  <conditionalFormatting sqref="P5:Q5">
    <cfRule type="duplicateValues" dxfId="2" priority="1423" stopIfTrue="1"/>
  </conditionalFormatting>
  <conditionalFormatting sqref="P6:Q7">
    <cfRule type="duplicateValues" dxfId="1" priority="1424" stopIfTrue="1"/>
  </conditionalFormatting>
  <conditionalFormatting sqref="P8">
    <cfRule type="duplicateValues" dxfId="0" priority="1" stopIfTru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cro1">
                <anchor moveWithCells="1" sizeWithCells="1">
                  <from>
                    <xdr:col>2</xdr:col>
                    <xdr:colOff>152400</xdr:colOff>
                    <xdr:row>0</xdr:row>
                    <xdr:rowOff>0</xdr:rowOff>
                  </from>
                  <to>
                    <xdr:col>7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Hoja1</vt:lpstr>
      <vt:lpstr>Hoja2</vt:lpstr>
      <vt:lpstr>abrir</vt:lpstr>
      <vt:lpstr>abrirdos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Geovanny Mendoza Ponce</dc:creator>
  <cp:lastModifiedBy>DELL</cp:lastModifiedBy>
  <dcterms:created xsi:type="dcterms:W3CDTF">2021-06-27T19:14:12Z</dcterms:created>
  <dcterms:modified xsi:type="dcterms:W3CDTF">2022-01-15T18:11:34Z</dcterms:modified>
</cp:coreProperties>
</file>